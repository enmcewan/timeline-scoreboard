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in\WebDev\Timeline-Scoreboard\"/>
    </mc:Choice>
  </mc:AlternateContent>
  <xr:revisionPtr revIDLastSave="0" documentId="8_{D71DAD6A-E412-4F2B-9143-C28304611E31}" xr6:coauthVersionLast="47" xr6:coauthVersionMax="47" xr10:uidLastSave="{00000000-0000-0000-0000-000000000000}"/>
  <bookViews>
    <workbookView xWindow="-120" yWindow="-120" windowWidth="29040" windowHeight="17520" xr2:uid="{60259489-A06E-40CB-BA51-D50433DAE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D4" i="1" l="1"/>
  <c r="D5" i="1"/>
  <c r="D6" i="1"/>
  <c r="D3" i="1"/>
  <c r="C4" i="1"/>
  <c r="C5" i="1"/>
  <c r="C6" i="1"/>
  <c r="C3" i="1"/>
  <c r="J15" i="1"/>
  <c r="M6" i="1"/>
  <c r="M8" i="1"/>
  <c r="M3" i="1"/>
  <c r="E6" i="1" l="1"/>
  <c r="E5" i="1"/>
  <c r="F5" i="1" s="1"/>
  <c r="E4" i="1"/>
  <c r="F4" i="1" s="1"/>
  <c r="E3" i="1"/>
  <c r="F3" i="1"/>
</calcChain>
</file>

<file path=xl/sharedStrings.xml><?xml version="1.0" encoding="utf-8"?>
<sst xmlns="http://schemas.openxmlformats.org/spreadsheetml/2006/main" count="19" uniqueCount="19">
  <si>
    <t>Netlify Cost</t>
  </si>
  <si>
    <t>Production Deploys</t>
  </si>
  <si>
    <t>AI Inference</t>
  </si>
  <si>
    <t>Compute</t>
  </si>
  <si>
    <t>Bandwidth</t>
  </si>
  <si>
    <t>Form Submission</t>
  </si>
  <si>
    <t>Web Requests</t>
  </si>
  <si>
    <t>Credits</t>
  </si>
  <si>
    <t>Credits Per</t>
  </si>
  <si>
    <t>3 or 4 Gameweeks per Month</t>
  </si>
  <si>
    <t>Game Times Per week</t>
  </si>
  <si>
    <t>Total</t>
  </si>
  <si>
    <t>Monthy Game Updates (Deploys)</t>
  </si>
  <si>
    <t>Game Time</t>
  </si>
  <si>
    <t>Deploys Per Game</t>
  </si>
  <si>
    <t>Game Times/Month</t>
  </si>
  <si>
    <t>Deploys/Month</t>
  </si>
  <si>
    <t>Deploy Credits/Month</t>
  </si>
  <si>
    <t>Update Frequency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</si>
</sst>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4178D-1217-428C-A76F-9CB9522582E2}" name="Table1" displayName="Table1" ref="A2:F6" totalsRowShown="0">
  <autoFilter ref="A2:F6" xr:uid="{4814178D-1217-428C-A76F-9CB9522582E2}"/>
  <tableColumns count="6">
    <tableColumn id="1" xr3:uid="{A367282F-A68C-47B6-820D-F2E2D6EEFD39}" name="Update Frequency (Mins)"/>
    <tableColumn id="2" xr3:uid="{1B014D1C-EF8A-4C20-B970-D78503B777CC}" name="Game Time"/>
    <tableColumn id="3" xr3:uid="{5A6359BA-12AC-47E9-B6F1-109BF7E38794}" name="Deploys Per Game">
      <calculatedColumnFormula>B3/A3</calculatedColumnFormula>
    </tableColumn>
    <tableColumn id="4" xr3:uid="{46F8BBD8-BF94-49F5-A696-8373E5FDADF8}" name="Game Times/Month"/>
    <tableColumn id="5" xr3:uid="{B47BDFD9-C792-4D00-BF2B-9CD0AB5C9F5F}" name="Deploys/Month">
      <calculatedColumnFormula>C3*D3</calculatedColumnFormula>
    </tableColumn>
    <tableColumn id="6" xr3:uid="{1253E383-1504-4257-97F9-0B4E5C9BFAAF}" name="Deploy Credits/Mon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7777-55F3-4E9E-920E-DD78982C30D9}">
  <dimension ref="A2:M15"/>
  <sheetViews>
    <sheetView tabSelected="1" workbookViewId="0">
      <selection activeCell="F8" sqref="F8"/>
    </sheetView>
  </sheetViews>
  <sheetFormatPr defaultRowHeight="15" x14ac:dyDescent="0.25"/>
  <cols>
    <col min="1" max="1" width="25" customWidth="1"/>
    <col min="2" max="2" width="13.28515625" bestFit="1" customWidth="1"/>
    <col min="3" max="3" width="19" customWidth="1"/>
    <col min="4" max="4" width="20.28515625" customWidth="1"/>
    <col min="5" max="5" width="16.42578125" customWidth="1"/>
    <col min="6" max="6" width="22" customWidth="1"/>
    <col min="9" max="10" width="9.140625" style="1"/>
  </cols>
  <sheetData>
    <row r="2" spans="1:13" x14ac:dyDescent="0.25">
      <c r="A2" t="s">
        <v>18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L2" t="s">
        <v>7</v>
      </c>
      <c r="M2" t="s">
        <v>8</v>
      </c>
    </row>
    <row r="3" spans="1:13" x14ac:dyDescent="0.25">
      <c r="A3">
        <v>1</v>
      </c>
      <c r="B3">
        <v>105</v>
      </c>
      <c r="C3">
        <f>B3/A3</f>
        <v>105</v>
      </c>
      <c r="D3">
        <f>J15</f>
        <v>22.75</v>
      </c>
      <c r="E3">
        <f>C3*D3</f>
        <v>2388.75</v>
      </c>
      <c r="F3">
        <f>E3*M3</f>
        <v>35831.25</v>
      </c>
      <c r="I3" s="1" t="s">
        <v>0</v>
      </c>
      <c r="J3" s="1" t="s">
        <v>1</v>
      </c>
      <c r="K3">
        <v>15</v>
      </c>
      <c r="L3">
        <v>225</v>
      </c>
      <c r="M3">
        <f>L3/K3</f>
        <v>15</v>
      </c>
    </row>
    <row r="4" spans="1:13" x14ac:dyDescent="0.25">
      <c r="A4">
        <v>5</v>
      </c>
      <c r="B4">
        <v>105</v>
      </c>
      <c r="C4">
        <f t="shared" ref="C4:C6" si="0">B4/A4</f>
        <v>21</v>
      </c>
      <c r="D4">
        <f>J15</f>
        <v>22.75</v>
      </c>
      <c r="E4">
        <f t="shared" ref="E4:E6" si="1">C4*D4</f>
        <v>477.75</v>
      </c>
      <c r="F4">
        <f>E4*M3</f>
        <v>7166.25</v>
      </c>
      <c r="J4" s="1" t="s">
        <v>2</v>
      </c>
      <c r="K4">
        <v>0</v>
      </c>
      <c r="L4">
        <v>0</v>
      </c>
    </row>
    <row r="5" spans="1:13" x14ac:dyDescent="0.25">
      <c r="A5">
        <v>10</v>
      </c>
      <c r="B5">
        <v>105</v>
      </c>
      <c r="C5">
        <f t="shared" si="0"/>
        <v>10.5</v>
      </c>
      <c r="D5">
        <f>J15</f>
        <v>22.75</v>
      </c>
      <c r="E5">
        <f t="shared" si="1"/>
        <v>238.875</v>
      </c>
      <c r="F5">
        <f>E5*M3</f>
        <v>3583.125</v>
      </c>
      <c r="J5" s="1" t="s">
        <v>3</v>
      </c>
      <c r="K5">
        <v>0</v>
      </c>
      <c r="L5">
        <v>0</v>
      </c>
    </row>
    <row r="6" spans="1:13" x14ac:dyDescent="0.25">
      <c r="A6">
        <v>15</v>
      </c>
      <c r="B6">
        <v>105</v>
      </c>
      <c r="C6">
        <f t="shared" si="0"/>
        <v>7</v>
      </c>
      <c r="D6">
        <f>J15</f>
        <v>22.75</v>
      </c>
      <c r="E6">
        <f t="shared" si="1"/>
        <v>159.25</v>
      </c>
      <c r="F6">
        <f>E6*M3</f>
        <v>2388.75</v>
      </c>
      <c r="J6" s="1" t="s">
        <v>4</v>
      </c>
      <c r="K6">
        <v>0.01</v>
      </c>
      <c r="L6">
        <v>0.1</v>
      </c>
      <c r="M6">
        <f>L6/K6</f>
        <v>10</v>
      </c>
    </row>
    <row r="7" spans="1:13" x14ac:dyDescent="0.25">
      <c r="J7" s="1" t="s">
        <v>5</v>
      </c>
      <c r="K7">
        <v>0</v>
      </c>
      <c r="L7">
        <v>0</v>
      </c>
    </row>
    <row r="8" spans="1:13" x14ac:dyDescent="0.25">
      <c r="J8" s="1" t="s">
        <v>6</v>
      </c>
      <c r="K8">
        <v>929</v>
      </c>
      <c r="L8">
        <v>0.3</v>
      </c>
      <c r="M8">
        <f>L8/K8</f>
        <v>3.2292787944025834E-4</v>
      </c>
    </row>
    <row r="12" spans="1:13" x14ac:dyDescent="0.25">
      <c r="J12" s="1" t="s">
        <v>12</v>
      </c>
    </row>
    <row r="13" spans="1:13" x14ac:dyDescent="0.25">
      <c r="I13" s="1" t="s">
        <v>10</v>
      </c>
      <c r="J13" s="1">
        <v>6.5</v>
      </c>
    </row>
    <row r="14" spans="1:13" x14ac:dyDescent="0.25">
      <c r="I14" s="1" t="s">
        <v>9</v>
      </c>
      <c r="J14" s="1">
        <v>3.5</v>
      </c>
    </row>
    <row r="15" spans="1:13" x14ac:dyDescent="0.25">
      <c r="I15" s="1" t="s">
        <v>11</v>
      </c>
      <c r="J15" s="1">
        <f>J13*J14</f>
        <v>22.75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Wilson</dc:creator>
  <cp:lastModifiedBy>Iain Wilson</cp:lastModifiedBy>
  <dcterms:created xsi:type="dcterms:W3CDTF">2026-01-19T06:09:27Z</dcterms:created>
  <dcterms:modified xsi:type="dcterms:W3CDTF">2026-01-26T18:04:39Z</dcterms:modified>
</cp:coreProperties>
</file>